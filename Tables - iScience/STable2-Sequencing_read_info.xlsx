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558" documentId="11_E60897F41BE170836B02CE998F75CCDC64E183C8" xr6:coauthVersionLast="47" xr6:coauthVersionMax="47" xr10:uidLastSave="{4F1BCD98-4889-4593-9EC0-E8DEFAB4F415}"/>
  <bookViews>
    <workbookView xWindow="240" yWindow="105" windowWidth="14805" windowHeight="8010" firstSheet="2" activeTab="2" xr2:uid="{00000000-000D-0000-FFFF-FFFF00000000}"/>
  </bookViews>
  <sheets>
    <sheet name="A-Genomic long-reads" sheetId="2" r:id="rId1"/>
    <sheet name="B-Hi-C reads" sheetId="1" r:id="rId2"/>
    <sheet name="C-RNA-seq read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</calcChain>
</file>

<file path=xl/sharedStrings.xml><?xml version="1.0" encoding="utf-8"?>
<sst xmlns="http://schemas.openxmlformats.org/spreadsheetml/2006/main" count="573" uniqueCount="206">
  <si>
    <t>Sample</t>
  </si>
  <si>
    <t>Description</t>
  </si>
  <si>
    <t>Library Source</t>
  </si>
  <si>
    <t>Sequencing technology</t>
  </si>
  <si>
    <t>Library layout</t>
  </si>
  <si>
    <t>Sequencing Platform</t>
  </si>
  <si>
    <t>Sequencing Instrument</t>
  </si>
  <si>
    <t>File name 1</t>
  </si>
  <si>
    <t>Total reads</t>
  </si>
  <si>
    <t>Unique reads</t>
  </si>
  <si>
    <t>Duplicated reads</t>
  </si>
  <si>
    <t>SRA accession</t>
  </si>
  <si>
    <t>Aetog-HiFi-5190</t>
  </si>
  <si>
    <t>HiFi reads from Aedes togoi: whole, male pupa</t>
  </si>
  <si>
    <t>Genomic</t>
  </si>
  <si>
    <t>PacBio HiFi</t>
  </si>
  <si>
    <t>single</t>
  </si>
  <si>
    <t>PacBio SMRT</t>
  </si>
  <si>
    <t>Sequell II</t>
  </si>
  <si>
    <t>m64047_220127_011636.ccs.fastq.gz</t>
  </si>
  <si>
    <t>SRR37027078</t>
  </si>
  <si>
    <t>Aetog-Hifi-5502</t>
  </si>
  <si>
    <t>m64047_220203_015531.ccs.fastq.gz</t>
  </si>
  <si>
    <t>SRR37027077</t>
  </si>
  <si>
    <t>Aedes_togoi_ONT_pooled_female_pupae</t>
  </si>
  <si>
    <t>ONT reads from Aedes togoi: pooled female pupae</t>
  </si>
  <si>
    <t>ONT</t>
  </si>
  <si>
    <t>Oxford Nanopore</t>
  </si>
  <si>
    <t>PromethION</t>
  </si>
  <si>
    <t>togoi-fem-pool-ONT.fastq.gz</t>
  </si>
  <si>
    <t>SRR37039351</t>
  </si>
  <si>
    <t>Aedes_togoi_ONT_pooled_male_pupae</t>
  </si>
  <si>
    <t>ONT reads from Aedes togoi: pooled male pupae</t>
  </si>
  <si>
    <t>togoi-male-pool-ONT.fastq.gz</t>
  </si>
  <si>
    <t>SRR37039874</t>
  </si>
  <si>
    <t>Aedes_togoi_ONT_single_female_pupa</t>
  </si>
  <si>
    <t>ONT reads from Aedes togoi: single female pupa</t>
  </si>
  <si>
    <t>togoi-fem-single-ONT.fastq.gz</t>
  </si>
  <si>
    <t>SRR37040333</t>
  </si>
  <si>
    <t>Aedes_togoi_ONT_single_male_pupa</t>
  </si>
  <si>
    <t>ONT reads from Aedes togoi: single male pupa</t>
  </si>
  <si>
    <t>togoi-male-single-ONT.fastq.gz</t>
  </si>
  <si>
    <t>SRR37039999</t>
  </si>
  <si>
    <t>Aedes_togoi_Hi-C_pupa_R1</t>
  </si>
  <si>
    <t>Hi-C of Aedes togoi: single male pupa</t>
  </si>
  <si>
    <t>Hi-C</t>
  </si>
  <si>
    <t>paired</t>
  </si>
  <si>
    <t>Illumina</t>
  </si>
  <si>
    <t>NextSeq 2000</t>
  </si>
  <si>
    <t>deep-T2-HiC_R1-trimmed.fastq.gz</t>
  </si>
  <si>
    <t>SRR37039361</t>
  </si>
  <si>
    <t>Aedes_togoi_Hi-C_pupa_R2</t>
  </si>
  <si>
    <t>deep-T2-HiC_R2-trimmed.fastq.gz</t>
  </si>
  <si>
    <t>Sequence Length (bp)</t>
  </si>
  <si>
    <t>Aedes_togoi_RNA_whole_larvae_dechl_REP1_R1</t>
  </si>
  <si>
    <t>mRNA from Aedes togoi: pooled larvae in dechlorinated freshwater</t>
  </si>
  <si>
    <t>Transcriptomic</t>
  </si>
  <si>
    <t>RNA-Seq</t>
  </si>
  <si>
    <t>Illumina HiSeq 4000</t>
  </si>
  <si>
    <t>larvae-togoi-decl-1_R1_001.fastq.gz</t>
  </si>
  <si>
    <t>SRR37237495</t>
  </si>
  <si>
    <t>Aedes_togoi_RNA_whole_larvae_dechl_REP1_R2</t>
  </si>
  <si>
    <t>larvae-togoi-decl-1_R2_001.fastq.gz</t>
  </si>
  <si>
    <t>Aedes_togoi_RNA_whole_larvae_dechl_REP2_R1</t>
  </si>
  <si>
    <t>larvae-togoi-decl-2_R1_001.fastq.gz</t>
  </si>
  <si>
    <t>SRR37238172</t>
  </si>
  <si>
    <t>Aedes_togoi_RNA_whole_larvae_dechl_REP2_R2</t>
  </si>
  <si>
    <t>larvae-togoi-decl-2_R2_001.fastq.gz</t>
  </si>
  <si>
    <t>Aedes_togoi_RNA_whole_larvae_dechl_REP3_R1</t>
  </si>
  <si>
    <t>larvae-togoi-decl-3_R1_001.fastq.gz</t>
  </si>
  <si>
    <t>SRR37237496</t>
  </si>
  <si>
    <t>Aedes_togoi_RNA_whole_larvae_dechl_REP3_R2</t>
  </si>
  <si>
    <t>larvae-togoi-decl-3_R2_001.fastq.gz</t>
  </si>
  <si>
    <t>Aedes_togoi_RNA_whole_larvae_dechl_REP4_R1</t>
  </si>
  <si>
    <t>larvae-togoi-decl-4_R1_001.fastq.gz</t>
  </si>
  <si>
    <t>SRR37238185</t>
  </si>
  <si>
    <t>Aedes_togoi_RNA_whole_larvae_dechl_REP4_R2</t>
  </si>
  <si>
    <t>larvae-togoi-decl-4_R2_001.fastq.gz</t>
  </si>
  <si>
    <t>Aedes_togoi_RNA_whole_larvae_salt_REP1_R1</t>
  </si>
  <si>
    <t>mRNA from Aedes togoi: pooled larvae in saltwater</t>
  </si>
  <si>
    <t>larvae-togoi-salt-1_R1_001.fastq.gz</t>
  </si>
  <si>
    <t>SRR37238187</t>
  </si>
  <si>
    <t>Aedes_togoi_RNA_whole_larvae_salt_REP1_R2</t>
  </si>
  <si>
    <t>larvae-togoi-salt-1_R2_001.fastq.gz</t>
  </si>
  <si>
    <t>Aedes_togoi_RNA_whole_larvae_salt_REP2_R1</t>
  </si>
  <si>
    <t>larvae-togoi-salt-2_R1_001.fastq.gz</t>
  </si>
  <si>
    <t>SRR37238186</t>
  </si>
  <si>
    <t>Aedes_togoi_RNA_whole_larvae_salt_REP2_R2</t>
  </si>
  <si>
    <t>larvae-togoi-salt-2_R2_001.fastq.gz</t>
  </si>
  <si>
    <t>Aedes_togoi_RNA_whole_larvae_salt_REP3_R1</t>
  </si>
  <si>
    <t>larvae-togoi-salt-3_R1_001.fastq.gz</t>
  </si>
  <si>
    <t>SRR37238188</t>
  </si>
  <si>
    <t>Aedes_togoi_RNA_whole_larvae_salt_REP3_R2</t>
  </si>
  <si>
    <t>larvae-togoi-salt-3_R2_001.fastq.gz</t>
  </si>
  <si>
    <t>Aedes_togoi_RNA_whole_larvae_salt_REP4_R1</t>
  </si>
  <si>
    <t>larvae-togoi-salt-4_R1_001.fastq.gz</t>
  </si>
  <si>
    <t>SRR37238201</t>
  </si>
  <si>
    <t>Aedes_togoi_RNA_whole_larvae_salt_REP4_R2</t>
  </si>
  <si>
    <t>larvae-togoi-salt-4_R2_001.fastq.gz</t>
  </si>
  <si>
    <t>Aedes_togoi_RNA_posterior_rectum_freshwater_REP1_R1</t>
  </si>
  <si>
    <t>mRNA from Aedes togoi: pooled posterior recta from larvae in dechlorinated freshwater</t>
  </si>
  <si>
    <t>Illumina NovaSeq X</t>
  </si>
  <si>
    <t>togoi-larvae-FW-PR-1-merged_1.fastq.gz</t>
  </si>
  <si>
    <t>SRR37042340</t>
  </si>
  <si>
    <t>Aedes_togoi_RNA_posterior_rectum_freshwater_REP1_R2</t>
  </si>
  <si>
    <t>togoi-larvae-FW-PR-1-merged_2.fastq.gz</t>
  </si>
  <si>
    <t>Aedes_togoi_RNA_posterior_rectum_freshwater_REP2_R1</t>
  </si>
  <si>
    <t>togoi-larvae-FW-PR-2-merged_1.fastq.gz</t>
  </si>
  <si>
    <t>SRR37042368</t>
  </si>
  <si>
    <t>Aedes_togoi_RNA_posterior_rectum_freshwater_REP2_R2</t>
  </si>
  <si>
    <t>togoi-larvae-FW-PR-2-merged_2.fastq.gz</t>
  </si>
  <si>
    <t>Aedes_togoi_RNA_posterior_rectum_freshwater_REP3_R1</t>
  </si>
  <si>
    <t>togoi-larvae-FW-PR-3-merged_1.fastq.gz</t>
  </si>
  <si>
    <t>SRR37042403</t>
  </si>
  <si>
    <t>Aedes_togoi_RNA_posterior_rectum_freshwater_REP3_R2</t>
  </si>
  <si>
    <t>togoi-larvae-FW-PR-3-merged_2.fastq.gz</t>
  </si>
  <si>
    <t>Aedes_togoi_RNA_posterior_rectum_freshwater_REP4_R1</t>
  </si>
  <si>
    <t>togoi-larvae-FW-PR-4-merged_1.fastq.gz</t>
  </si>
  <si>
    <t>SRR37042402</t>
  </si>
  <si>
    <t>Aedes_togoi_RNA_posterior_rectum_freshwater_REP4_R2</t>
  </si>
  <si>
    <t>togoi-larvae-FW-PR-4-merged_2.fastq.gz</t>
  </si>
  <si>
    <t>Aedes_togoi_RNA_posterior_rectum_saltwater_REP1_R1</t>
  </si>
  <si>
    <t>mRNA from Aedes togoi: pooled posterior recta from larvae in saltwater</t>
  </si>
  <si>
    <t>togoi-larvae-SW-PR-1-merged_1.fastq.gz</t>
  </si>
  <si>
    <t>SRR37042488</t>
  </si>
  <si>
    <t>Aedes_togoi_RNA_posterior_rectum_saltwater_REP1_R2</t>
  </si>
  <si>
    <t>togoi-larvae-SW-PR-1-merged_2.fastq.gz</t>
  </si>
  <si>
    <t>Aedes_togoi_RNA_posterior_rectum_saltwater_REP2_R1</t>
  </si>
  <si>
    <t>SRR37042489</t>
  </si>
  <si>
    <t>Aedes_togoi_RNA_posterior_rectum_saltwater_REP2_R2</t>
  </si>
  <si>
    <t>togoi-larvae-SW-PR-2-merged_2.fastq.gz</t>
  </si>
  <si>
    <t>Aedes_togoi_RNA_posterior_rectum_saltwater_REP3_R1</t>
  </si>
  <si>
    <t>togoi-larvae-SW-PR-3-merged_1.fastq.gz</t>
  </si>
  <si>
    <t>SRR37042497</t>
  </si>
  <si>
    <t>Aedes_togoi_RNA_posterior_rectum_saltwater_REP3_R2</t>
  </si>
  <si>
    <t>togoi-larvae-SW-PR-3-merged_2.fastq.gz</t>
  </si>
  <si>
    <t>Aedes_togoi_RNA_posterior_rectum_saltwater_REP4_R1</t>
  </si>
  <si>
    <t>togoi-larvae-SW-PR-4-merged_1.fastq.gz</t>
  </si>
  <si>
    <t>SRR37042496</t>
  </si>
  <si>
    <t>Aedes_togoi_RNA_posterior_rectum_saltwater_REP4_R2</t>
  </si>
  <si>
    <t>togoi-larvae-SW-PR-4-merged_2.fastq.gz</t>
  </si>
  <si>
    <t>Aedes_togoi_RNA_adult_body_female_REP1_R1</t>
  </si>
  <si>
    <t>mRNA from Aedes togoi: pooled bodies (head removed) from adult females</t>
  </si>
  <si>
    <t>Illumina NovaSeq X Plus</t>
  </si>
  <si>
    <t>FB1_1.fq.gz</t>
  </si>
  <si>
    <t>SRR37236537</t>
  </si>
  <si>
    <t>Aedes_togoi_RNA_adult_body_female_REP1_R2</t>
  </si>
  <si>
    <t>FB1_2.fq.gz</t>
  </si>
  <si>
    <t>Aedes_togoi_RNA_adult_body_female_REP2_R1</t>
  </si>
  <si>
    <t>FB2_1.fq.gz</t>
  </si>
  <si>
    <t>SRR37236631</t>
  </si>
  <si>
    <t>Aedes_togoi_RNA_adult_body_female_REP2_R2</t>
  </si>
  <si>
    <t>FB2_2.fq.gz</t>
  </si>
  <si>
    <t>Aedes_togoi_RNA_adult_body_female_REP3_R1</t>
  </si>
  <si>
    <t>FB3_1.fq.gz</t>
  </si>
  <si>
    <t>SRR37237384</t>
  </si>
  <si>
    <t>Aedes_togoi_RNA_adult_body_female_REP3_R2</t>
  </si>
  <si>
    <t>FB3_2.fq.gz</t>
  </si>
  <si>
    <t>Aedes_togoi_RNA_adult_head_female_REP1_R1</t>
  </si>
  <si>
    <t>mRNA from Aedes togoi: pooled heads (body removed) from adult females</t>
  </si>
  <si>
    <t>FH1_1.fq.gz</t>
  </si>
  <si>
    <t>SRR37237437</t>
  </si>
  <si>
    <t>Aedes_togoi_RNA_adult_head_female_REP1_R2</t>
  </si>
  <si>
    <t>FH1_2.fq.gz</t>
  </si>
  <si>
    <t>Aedes_togoi_RNA_adult_head_female_REP2_R1</t>
  </si>
  <si>
    <t>FH2_1.fq.gz</t>
  </si>
  <si>
    <t>SRR37237425</t>
  </si>
  <si>
    <t>Aedes_togoi_RNA_adult_head_female_REP2_R2</t>
  </si>
  <si>
    <t>FH2_2.fq.gz</t>
  </si>
  <si>
    <t>Aedes_togoi_RNA_adult_head_female_REP3_R1</t>
  </si>
  <si>
    <t>FH3_1.fq.gz</t>
  </si>
  <si>
    <t>SRR37237457</t>
  </si>
  <si>
    <t>Aedes_togoi_RNA_adult_head_female_REP3_R2</t>
  </si>
  <si>
    <t>FH3_2.fq.gz</t>
  </si>
  <si>
    <t>Aedes_togoi_RNA_adult_body_male_REP1_R1</t>
  </si>
  <si>
    <t>mRNA from Aedes togoi: pooled bodies (head removed) from adult males</t>
  </si>
  <si>
    <t>MB1_1.fq.gz</t>
  </si>
  <si>
    <t>SRR37237478</t>
  </si>
  <si>
    <t>Aedes_togoi_RNA_adult_body_male_REP1_R2</t>
  </si>
  <si>
    <t>MB1_2.fq.gz</t>
  </si>
  <si>
    <t>Aedes_togoi_RNA_adult_body_male_REP2_R1</t>
  </si>
  <si>
    <t>MB2_1.fq.gz</t>
  </si>
  <si>
    <t>SRR37237473</t>
  </si>
  <si>
    <t>Aedes_togoi_RNA_adult_body_male_REP2_R2</t>
  </si>
  <si>
    <t>MB2_2.fq.gz</t>
  </si>
  <si>
    <t>Aedes_togoi_RNA_adult_body_male_REP3_R1</t>
  </si>
  <si>
    <t>MB3_1.fq.gz</t>
  </si>
  <si>
    <t>SRR37237465</t>
  </si>
  <si>
    <t>Aedes_togoi_RNA_adult_body_male_REP3_R2</t>
  </si>
  <si>
    <t>MB3_2.fq.gz</t>
  </si>
  <si>
    <t>Aedes_togoi_RNA_adult_head_male_REP1_R1</t>
  </si>
  <si>
    <t>mRNA from Aedes togoi: pooled heads (body removed) from adult males</t>
  </si>
  <si>
    <t>MH1_1.fq.gz</t>
  </si>
  <si>
    <t>SRR37237472</t>
  </si>
  <si>
    <t>Aedes_togoi_RNA_adult_head_male_REP1_R2</t>
  </si>
  <si>
    <t>MH1_2.fq.gz</t>
  </si>
  <si>
    <t>Aedes_togoi_RNA_adult_head_male_REP2_R1</t>
  </si>
  <si>
    <t>MH2_1.fq.gz</t>
  </si>
  <si>
    <t>SRR37237464</t>
  </si>
  <si>
    <t>Aedes_togoi_RNA_adult_head_male_REP2_R2</t>
  </si>
  <si>
    <t>MH2_2.fq.gz</t>
  </si>
  <si>
    <t>Aedes_togoi_RNA_adult_head_male_REP3_R1</t>
  </si>
  <si>
    <t>MH3_1.fq.gz</t>
  </si>
  <si>
    <t>SRR37237493</t>
  </si>
  <si>
    <t>Aedes_togoi_RNA_adult_head_male_REP3_R2</t>
  </si>
  <si>
    <t>MH3_2.fq.gz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</si>
</sst>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2CFA-785E-4B0A-9ED4-9C338963E584}">
  <dimension ref="A1:M9"/>
  <sheetViews>
    <sheetView topLeftCell="F1" workbookViewId="0">
      <selection activeCell="M5" sqref="M5"/>
    </sheetView>
  </sheetViews>
  <sheetFormatPr defaultRowHeight="15"/>
  <cols>
    <col min="1" max="1" width="43" customWidth="1"/>
    <col min="2" max="8" width="21.42578125" customWidth="1"/>
    <col min="9" max="9" width="32.140625" customWidth="1"/>
    <col min="10" max="11" width="21.42578125" customWidth="1"/>
    <col min="12" max="12" width="18" customWidth="1"/>
  </cols>
  <sheetData>
    <row r="1" spans="1:13" ht="15.75">
      <c r="A1" s="5" t="s">
        <v>0</v>
      </c>
      <c r="B1" s="5" t="s">
        <v>1</v>
      </c>
      <c r="C1" s="5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ht="15.75">
      <c r="A2" s="4" t="s">
        <v>12</v>
      </c>
      <c r="B2" s="3" t="s">
        <v>13</v>
      </c>
      <c r="C2" s="3"/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1">
        <f>K2+L2</f>
        <v>2086107</v>
      </c>
      <c r="K2" s="1">
        <v>1983218</v>
      </c>
      <c r="L2" s="1">
        <v>102889</v>
      </c>
      <c r="M2" s="4" t="s">
        <v>20</v>
      </c>
    </row>
    <row r="3" spans="1:13" ht="15.75">
      <c r="A3" s="4" t="s">
        <v>21</v>
      </c>
      <c r="B3" s="3" t="s">
        <v>13</v>
      </c>
      <c r="C3" s="3"/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22</v>
      </c>
      <c r="J3" s="1">
        <f>K3+L3</f>
        <v>2172295</v>
      </c>
      <c r="K3" s="1">
        <v>2068238</v>
      </c>
      <c r="L3" s="1">
        <v>104057</v>
      </c>
      <c r="M3" s="4" t="s">
        <v>23</v>
      </c>
    </row>
    <row r="4" spans="1:13" ht="15.75">
      <c r="K4" s="4"/>
    </row>
    <row r="5" spans="1:13" ht="15.75">
      <c r="A5" s="3" t="s">
        <v>24</v>
      </c>
      <c r="B5" s="3" t="s">
        <v>25</v>
      </c>
      <c r="C5" s="3"/>
      <c r="D5" s="4" t="s">
        <v>14</v>
      </c>
      <c r="E5" s="4" t="s">
        <v>26</v>
      </c>
      <c r="F5" s="4" t="s">
        <v>16</v>
      </c>
      <c r="G5" s="4" t="s">
        <v>27</v>
      </c>
      <c r="H5" s="4" t="s">
        <v>28</v>
      </c>
      <c r="I5" s="3" t="s">
        <v>29</v>
      </c>
      <c r="J5" s="1">
        <v>1611811</v>
      </c>
      <c r="K5" s="1">
        <v>1515377</v>
      </c>
      <c r="L5" s="1">
        <v>96434</v>
      </c>
      <c r="M5" s="4" t="s">
        <v>30</v>
      </c>
    </row>
    <row r="6" spans="1:13" ht="15.75">
      <c r="A6" s="3" t="s">
        <v>31</v>
      </c>
      <c r="B6" s="3" t="s">
        <v>32</v>
      </c>
      <c r="C6" s="3"/>
      <c r="D6" s="4" t="s">
        <v>14</v>
      </c>
      <c r="E6" s="4" t="s">
        <v>26</v>
      </c>
      <c r="F6" s="4" t="s">
        <v>16</v>
      </c>
      <c r="G6" s="4" t="s">
        <v>27</v>
      </c>
      <c r="H6" s="4" t="s">
        <v>28</v>
      </c>
      <c r="I6" s="3" t="s">
        <v>33</v>
      </c>
      <c r="J6" s="1">
        <v>2121855</v>
      </c>
      <c r="K6" s="1">
        <v>2004854</v>
      </c>
      <c r="L6" s="1">
        <v>117001</v>
      </c>
      <c r="M6" s="4" t="s">
        <v>34</v>
      </c>
    </row>
    <row r="7" spans="1:13" ht="15.75">
      <c r="A7" s="3" t="s">
        <v>35</v>
      </c>
      <c r="B7" s="3" t="s">
        <v>36</v>
      </c>
      <c r="C7" s="3"/>
      <c r="D7" s="4" t="s">
        <v>14</v>
      </c>
      <c r="E7" s="4" t="s">
        <v>26</v>
      </c>
      <c r="F7" s="4" t="s">
        <v>16</v>
      </c>
      <c r="G7" s="4" t="s">
        <v>27</v>
      </c>
      <c r="H7" s="4" t="s">
        <v>28</v>
      </c>
      <c r="I7" s="3" t="s">
        <v>37</v>
      </c>
      <c r="J7" s="1">
        <v>2134372</v>
      </c>
      <c r="K7" s="1">
        <v>2032108</v>
      </c>
      <c r="L7" s="1">
        <v>102264</v>
      </c>
      <c r="M7" s="4" t="s">
        <v>38</v>
      </c>
    </row>
    <row r="8" spans="1:13" ht="15.75">
      <c r="A8" s="3" t="s">
        <v>39</v>
      </c>
      <c r="B8" s="3" t="s">
        <v>40</v>
      </c>
      <c r="C8" s="3"/>
      <c r="D8" s="4" t="s">
        <v>14</v>
      </c>
      <c r="E8" s="4" t="s">
        <v>26</v>
      </c>
      <c r="F8" s="4" t="s">
        <v>16</v>
      </c>
      <c r="G8" s="4" t="s">
        <v>27</v>
      </c>
      <c r="H8" s="4" t="s">
        <v>28</v>
      </c>
      <c r="I8" s="3" t="s">
        <v>41</v>
      </c>
      <c r="J8" s="1">
        <v>2537234</v>
      </c>
      <c r="K8" s="1">
        <v>2412020</v>
      </c>
      <c r="L8" s="1">
        <v>125214</v>
      </c>
      <c r="M8" s="4" t="s">
        <v>42</v>
      </c>
    </row>
    <row r="9" spans="1:13" ht="15.75">
      <c r="K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opLeftCell="G1" workbookViewId="0">
      <selection activeCell="K9" sqref="K9"/>
    </sheetView>
  </sheetViews>
  <sheetFormatPr defaultRowHeight="15"/>
  <cols>
    <col min="1" max="1" width="27.5703125" customWidth="1"/>
    <col min="2" max="3" width="21.28515625" customWidth="1"/>
    <col min="4" max="4" width="13.85546875" customWidth="1"/>
    <col min="5" max="5" width="14.140625" customWidth="1"/>
    <col min="6" max="6" width="13.7109375" customWidth="1"/>
    <col min="7" max="7" width="26.42578125" customWidth="1"/>
    <col min="8" max="8" width="21.140625" customWidth="1"/>
    <col min="9" max="9" width="18.85546875" customWidth="1"/>
    <col min="10" max="12" width="21" customWidth="1"/>
  </cols>
  <sheetData>
    <row r="1" spans="1:13" s="5" customFormat="1" ht="15.75">
      <c r="A1" s="5" t="s">
        <v>0</v>
      </c>
      <c r="B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s="4" customFormat="1" ht="15.75">
      <c r="A2" s="4" t="s">
        <v>43</v>
      </c>
      <c r="B2" s="4" t="s">
        <v>44</v>
      </c>
      <c r="D2" s="4" t="s">
        <v>14</v>
      </c>
      <c r="E2" s="4" t="s">
        <v>45</v>
      </c>
      <c r="F2" s="4" t="s">
        <v>46</v>
      </c>
      <c r="G2" s="4" t="s">
        <v>47</v>
      </c>
      <c r="H2" s="4" t="s">
        <v>48</v>
      </c>
      <c r="I2" s="3" t="s">
        <v>49</v>
      </c>
      <c r="J2" s="1">
        <v>424605797</v>
      </c>
      <c r="K2" s="1">
        <v>289995096</v>
      </c>
      <c r="L2" s="1">
        <v>134610701</v>
      </c>
      <c r="M2" s="4" t="s">
        <v>50</v>
      </c>
    </row>
    <row r="3" spans="1:13" s="4" customFormat="1" ht="15.75">
      <c r="A3" s="4" t="s">
        <v>51</v>
      </c>
      <c r="B3" s="4" t="s">
        <v>44</v>
      </c>
      <c r="D3" s="4" t="s">
        <v>14</v>
      </c>
      <c r="E3" s="4" t="s">
        <v>45</v>
      </c>
      <c r="F3" s="4" t="s">
        <v>46</v>
      </c>
      <c r="G3" s="4" t="s">
        <v>47</v>
      </c>
      <c r="H3" s="4" t="s">
        <v>48</v>
      </c>
      <c r="I3" s="3" t="s">
        <v>52</v>
      </c>
      <c r="J3" s="1">
        <v>424605797</v>
      </c>
      <c r="K3" s="1">
        <v>309738721</v>
      </c>
      <c r="L3" s="1">
        <v>114867076</v>
      </c>
      <c r="M3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DE88-4894-473B-9CB9-AA1091CE6F03}">
  <dimension ref="A1:N59"/>
  <sheetViews>
    <sheetView tabSelected="1" topLeftCell="G13" workbookViewId="0">
      <selection activeCell="L22" sqref="L22"/>
    </sheetView>
  </sheetViews>
  <sheetFormatPr defaultRowHeight="15"/>
  <cols>
    <col min="1" max="1" width="61" customWidth="1"/>
    <col min="2" max="8" width="19.140625" customWidth="1"/>
    <col min="9" max="9" width="40.7109375" customWidth="1"/>
    <col min="10" max="12" width="19.140625" customWidth="1"/>
    <col min="13" max="13" width="16.5703125" customWidth="1"/>
  </cols>
  <sheetData>
    <row r="1" spans="1:14" ht="15.75">
      <c r="A1" s="5" t="s">
        <v>0</v>
      </c>
      <c r="B1" s="5" t="s">
        <v>1</v>
      </c>
      <c r="C1" s="5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2" t="s">
        <v>53</v>
      </c>
      <c r="N1" s="5" t="s">
        <v>11</v>
      </c>
    </row>
    <row r="2" spans="1:14" ht="15.75">
      <c r="A2" s="3" t="s">
        <v>54</v>
      </c>
      <c r="B2" s="3" t="s">
        <v>55</v>
      </c>
      <c r="C2" s="3"/>
      <c r="D2" s="4" t="s">
        <v>56</v>
      </c>
      <c r="E2" s="3" t="s">
        <v>57</v>
      </c>
      <c r="F2" s="3" t="s">
        <v>46</v>
      </c>
      <c r="G2" s="4" t="s">
        <v>47</v>
      </c>
      <c r="H2" s="3" t="s">
        <v>58</v>
      </c>
      <c r="I2" s="3" t="s">
        <v>59</v>
      </c>
      <c r="J2" s="1">
        <v>22131678</v>
      </c>
      <c r="K2" s="1">
        <v>8125449</v>
      </c>
      <c r="L2" s="1">
        <v>14006229</v>
      </c>
      <c r="M2" s="4">
        <v>150</v>
      </c>
      <c r="N2" t="s">
        <v>60</v>
      </c>
    </row>
    <row r="3" spans="1:14" ht="15.75">
      <c r="A3" s="3" t="s">
        <v>61</v>
      </c>
      <c r="B3" s="3" t="s">
        <v>55</v>
      </c>
      <c r="C3" s="3"/>
      <c r="D3" s="4" t="s">
        <v>56</v>
      </c>
      <c r="E3" s="3" t="s">
        <v>57</v>
      </c>
      <c r="F3" s="3" t="s">
        <v>46</v>
      </c>
      <c r="G3" s="4" t="s">
        <v>47</v>
      </c>
      <c r="H3" s="3" t="s">
        <v>58</v>
      </c>
      <c r="I3" s="3" t="s">
        <v>62</v>
      </c>
      <c r="J3" s="1">
        <v>22131678</v>
      </c>
      <c r="K3" s="1">
        <v>8931151</v>
      </c>
      <c r="L3" s="1">
        <v>13200527</v>
      </c>
      <c r="M3" s="4">
        <v>150</v>
      </c>
      <c r="N3" t="s">
        <v>60</v>
      </c>
    </row>
    <row r="4" spans="1:14" ht="15.75">
      <c r="A4" s="3" t="s">
        <v>63</v>
      </c>
      <c r="B4" s="3" t="s">
        <v>55</v>
      </c>
      <c r="C4" s="3"/>
      <c r="D4" s="4" t="s">
        <v>56</v>
      </c>
      <c r="E4" s="3" t="s">
        <v>57</v>
      </c>
      <c r="F4" s="3" t="s">
        <v>46</v>
      </c>
      <c r="G4" s="4" t="s">
        <v>47</v>
      </c>
      <c r="H4" s="3" t="s">
        <v>58</v>
      </c>
      <c r="I4" s="3" t="s">
        <v>64</v>
      </c>
      <c r="J4" s="1">
        <v>23558559</v>
      </c>
      <c r="K4" s="1">
        <v>9217925</v>
      </c>
      <c r="L4" s="1">
        <v>14340634</v>
      </c>
      <c r="M4" s="4">
        <v>150</v>
      </c>
      <c r="N4" t="s">
        <v>65</v>
      </c>
    </row>
    <row r="5" spans="1:14" ht="15.75">
      <c r="A5" s="3" t="s">
        <v>66</v>
      </c>
      <c r="B5" s="3" t="s">
        <v>55</v>
      </c>
      <c r="C5" s="3"/>
      <c r="D5" s="4" t="s">
        <v>56</v>
      </c>
      <c r="E5" s="3" t="s">
        <v>57</v>
      </c>
      <c r="F5" s="3" t="s">
        <v>46</v>
      </c>
      <c r="G5" s="4" t="s">
        <v>47</v>
      </c>
      <c r="H5" s="3" t="s">
        <v>58</v>
      </c>
      <c r="I5" s="3" t="s">
        <v>67</v>
      </c>
      <c r="J5" s="1">
        <v>23558559</v>
      </c>
      <c r="K5" s="1">
        <v>9755985</v>
      </c>
      <c r="L5" s="1">
        <v>13802574</v>
      </c>
      <c r="M5" s="4">
        <v>150</v>
      </c>
      <c r="N5" t="s">
        <v>65</v>
      </c>
    </row>
    <row r="6" spans="1:14" ht="15.75">
      <c r="A6" s="3" t="s">
        <v>68</v>
      </c>
      <c r="B6" s="3" t="s">
        <v>55</v>
      </c>
      <c r="C6" s="3"/>
      <c r="D6" s="4" t="s">
        <v>56</v>
      </c>
      <c r="E6" s="3" t="s">
        <v>57</v>
      </c>
      <c r="F6" s="3" t="s">
        <v>46</v>
      </c>
      <c r="G6" s="4" t="s">
        <v>47</v>
      </c>
      <c r="H6" s="3" t="s">
        <v>58</v>
      </c>
      <c r="I6" s="3" t="s">
        <v>69</v>
      </c>
      <c r="J6" s="1">
        <v>23601404</v>
      </c>
      <c r="K6" s="1">
        <v>8594759</v>
      </c>
      <c r="L6" s="1">
        <v>15006645</v>
      </c>
      <c r="M6" s="4">
        <v>150</v>
      </c>
      <c r="N6" t="s">
        <v>70</v>
      </c>
    </row>
    <row r="7" spans="1:14" ht="15.75">
      <c r="A7" s="3" t="s">
        <v>71</v>
      </c>
      <c r="B7" s="3" t="s">
        <v>55</v>
      </c>
      <c r="C7" s="3"/>
      <c r="D7" s="4" t="s">
        <v>56</v>
      </c>
      <c r="E7" s="3" t="s">
        <v>57</v>
      </c>
      <c r="F7" s="3" t="s">
        <v>46</v>
      </c>
      <c r="G7" s="4" t="s">
        <v>47</v>
      </c>
      <c r="H7" s="3" t="s">
        <v>58</v>
      </c>
      <c r="I7" s="3" t="s">
        <v>72</v>
      </c>
      <c r="J7" s="1">
        <v>23601404</v>
      </c>
      <c r="K7" s="1">
        <v>9539861</v>
      </c>
      <c r="L7" s="1">
        <v>14061543</v>
      </c>
      <c r="M7" s="4">
        <v>150</v>
      </c>
      <c r="N7" t="s">
        <v>70</v>
      </c>
    </row>
    <row r="8" spans="1:14" ht="15.75">
      <c r="A8" s="3" t="s">
        <v>73</v>
      </c>
      <c r="B8" s="3" t="s">
        <v>55</v>
      </c>
      <c r="C8" s="3"/>
      <c r="D8" s="4" t="s">
        <v>56</v>
      </c>
      <c r="E8" s="3" t="s">
        <v>57</v>
      </c>
      <c r="F8" s="3" t="s">
        <v>46</v>
      </c>
      <c r="G8" s="4" t="s">
        <v>47</v>
      </c>
      <c r="H8" s="3" t="s">
        <v>58</v>
      </c>
      <c r="I8" s="3" t="s">
        <v>74</v>
      </c>
      <c r="J8" s="1">
        <v>18368120</v>
      </c>
      <c r="K8" s="1">
        <v>7438178</v>
      </c>
      <c r="L8" s="1">
        <v>10929942</v>
      </c>
      <c r="M8" s="4">
        <v>150</v>
      </c>
      <c r="N8" t="s">
        <v>75</v>
      </c>
    </row>
    <row r="9" spans="1:14" ht="15.75">
      <c r="A9" s="3" t="s">
        <v>76</v>
      </c>
      <c r="B9" s="3" t="s">
        <v>55</v>
      </c>
      <c r="C9" s="3"/>
      <c r="D9" s="4" t="s">
        <v>56</v>
      </c>
      <c r="E9" s="3" t="s">
        <v>57</v>
      </c>
      <c r="F9" s="3" t="s">
        <v>46</v>
      </c>
      <c r="G9" s="4" t="s">
        <v>47</v>
      </c>
      <c r="H9" s="3" t="s">
        <v>58</v>
      </c>
      <c r="I9" s="3" t="s">
        <v>77</v>
      </c>
      <c r="J9" s="1">
        <v>18368120</v>
      </c>
      <c r="K9" s="1">
        <v>8194366</v>
      </c>
      <c r="L9" s="1">
        <v>10173754</v>
      </c>
      <c r="M9" s="4">
        <v>150</v>
      </c>
      <c r="N9" t="s">
        <v>75</v>
      </c>
    </row>
    <row r="10" spans="1:14" ht="15.75">
      <c r="A10" s="3" t="s">
        <v>78</v>
      </c>
      <c r="B10" s="3" t="s">
        <v>79</v>
      </c>
      <c r="C10" s="3"/>
      <c r="D10" s="4" t="s">
        <v>56</v>
      </c>
      <c r="E10" s="3" t="s">
        <v>57</v>
      </c>
      <c r="F10" s="3" t="s">
        <v>46</v>
      </c>
      <c r="G10" s="4" t="s">
        <v>47</v>
      </c>
      <c r="H10" s="3" t="s">
        <v>58</v>
      </c>
      <c r="I10" s="3" t="s">
        <v>80</v>
      </c>
      <c r="J10" s="1">
        <v>21857924</v>
      </c>
      <c r="K10" s="1">
        <v>9208080</v>
      </c>
      <c r="L10" s="1">
        <v>12649844</v>
      </c>
      <c r="M10" s="4">
        <v>150</v>
      </c>
      <c r="N10" t="s">
        <v>81</v>
      </c>
    </row>
    <row r="11" spans="1:14" ht="15.75">
      <c r="A11" s="3" t="s">
        <v>82</v>
      </c>
      <c r="B11" s="3" t="s">
        <v>79</v>
      </c>
      <c r="C11" s="3"/>
      <c r="D11" s="4" t="s">
        <v>56</v>
      </c>
      <c r="E11" s="3" t="s">
        <v>57</v>
      </c>
      <c r="F11" s="3" t="s">
        <v>46</v>
      </c>
      <c r="G11" s="4" t="s">
        <v>47</v>
      </c>
      <c r="H11" s="3" t="s">
        <v>58</v>
      </c>
      <c r="I11" s="3" t="s">
        <v>83</v>
      </c>
      <c r="J11" s="1">
        <v>21857924</v>
      </c>
      <c r="K11" s="1">
        <v>9687827</v>
      </c>
      <c r="L11" s="1">
        <v>12170097</v>
      </c>
      <c r="M11" s="4">
        <v>150</v>
      </c>
      <c r="N11" t="s">
        <v>81</v>
      </c>
    </row>
    <row r="12" spans="1:14" ht="15.75">
      <c r="A12" s="3" t="s">
        <v>84</v>
      </c>
      <c r="B12" s="3" t="s">
        <v>79</v>
      </c>
      <c r="C12" s="3"/>
      <c r="D12" s="4" t="s">
        <v>56</v>
      </c>
      <c r="E12" s="3" t="s">
        <v>57</v>
      </c>
      <c r="F12" s="3" t="s">
        <v>46</v>
      </c>
      <c r="G12" s="4" t="s">
        <v>47</v>
      </c>
      <c r="H12" s="3" t="s">
        <v>58</v>
      </c>
      <c r="I12" s="3" t="s">
        <v>85</v>
      </c>
      <c r="J12" s="1">
        <v>21585002</v>
      </c>
      <c r="K12" s="1">
        <v>8776829</v>
      </c>
      <c r="L12" s="1">
        <v>12808173</v>
      </c>
      <c r="M12" s="4">
        <v>150</v>
      </c>
      <c r="N12" t="s">
        <v>86</v>
      </c>
    </row>
    <row r="13" spans="1:14" ht="15.75">
      <c r="A13" s="3" t="s">
        <v>87</v>
      </c>
      <c r="B13" s="3" t="s">
        <v>79</v>
      </c>
      <c r="C13" s="3"/>
      <c r="D13" s="4" t="s">
        <v>56</v>
      </c>
      <c r="E13" s="3" t="s">
        <v>57</v>
      </c>
      <c r="F13" s="3" t="s">
        <v>46</v>
      </c>
      <c r="G13" s="4" t="s">
        <v>47</v>
      </c>
      <c r="H13" s="3" t="s">
        <v>58</v>
      </c>
      <c r="I13" s="3" t="s">
        <v>88</v>
      </c>
      <c r="J13" s="1">
        <v>21585002</v>
      </c>
      <c r="K13" s="1">
        <v>9337656</v>
      </c>
      <c r="L13" s="1">
        <v>12247346</v>
      </c>
      <c r="M13" s="4">
        <v>150</v>
      </c>
      <c r="N13" t="s">
        <v>86</v>
      </c>
    </row>
    <row r="14" spans="1:14" ht="15.75">
      <c r="A14" s="3" t="s">
        <v>89</v>
      </c>
      <c r="B14" s="3" t="s">
        <v>79</v>
      </c>
      <c r="C14" s="3"/>
      <c r="D14" s="4" t="s">
        <v>56</v>
      </c>
      <c r="E14" s="3" t="s">
        <v>57</v>
      </c>
      <c r="F14" s="3" t="s">
        <v>46</v>
      </c>
      <c r="G14" s="4" t="s">
        <v>47</v>
      </c>
      <c r="H14" s="3" t="s">
        <v>58</v>
      </c>
      <c r="I14" s="3" t="s">
        <v>90</v>
      </c>
      <c r="J14" s="1">
        <v>23581880</v>
      </c>
      <c r="K14" s="1">
        <v>9307055</v>
      </c>
      <c r="L14" s="1">
        <v>14274825</v>
      </c>
      <c r="M14" s="4">
        <v>150</v>
      </c>
      <c r="N14" t="s">
        <v>91</v>
      </c>
    </row>
    <row r="15" spans="1:14" ht="15.75">
      <c r="A15" s="3" t="s">
        <v>92</v>
      </c>
      <c r="B15" s="3" t="s">
        <v>79</v>
      </c>
      <c r="C15" s="3"/>
      <c r="D15" s="4" t="s">
        <v>56</v>
      </c>
      <c r="E15" s="3" t="s">
        <v>57</v>
      </c>
      <c r="F15" s="3" t="s">
        <v>46</v>
      </c>
      <c r="G15" s="4" t="s">
        <v>47</v>
      </c>
      <c r="H15" s="3" t="s">
        <v>58</v>
      </c>
      <c r="I15" s="3" t="s">
        <v>93</v>
      </c>
      <c r="J15" s="1">
        <v>23581880</v>
      </c>
      <c r="K15" s="1">
        <v>9889204</v>
      </c>
      <c r="L15" s="1">
        <v>13692676</v>
      </c>
      <c r="M15" s="4">
        <v>150</v>
      </c>
      <c r="N15" t="s">
        <v>91</v>
      </c>
    </row>
    <row r="16" spans="1:14" ht="15.75">
      <c r="A16" s="3" t="s">
        <v>94</v>
      </c>
      <c r="B16" s="3" t="s">
        <v>79</v>
      </c>
      <c r="C16" s="3"/>
      <c r="D16" s="4" t="s">
        <v>56</v>
      </c>
      <c r="E16" s="3" t="s">
        <v>57</v>
      </c>
      <c r="F16" s="3" t="s">
        <v>46</v>
      </c>
      <c r="G16" s="4" t="s">
        <v>47</v>
      </c>
      <c r="H16" s="3" t="s">
        <v>58</v>
      </c>
      <c r="I16" s="3" t="s">
        <v>95</v>
      </c>
      <c r="J16" s="1">
        <v>27625068</v>
      </c>
      <c r="K16" s="1">
        <v>10915415</v>
      </c>
      <c r="L16" s="1">
        <v>16709653</v>
      </c>
      <c r="M16" s="4">
        <v>150</v>
      </c>
      <c r="N16" t="s">
        <v>96</v>
      </c>
    </row>
    <row r="17" spans="1:14" ht="15.75">
      <c r="A17" s="3" t="s">
        <v>97</v>
      </c>
      <c r="B17" s="3" t="s">
        <v>79</v>
      </c>
      <c r="C17" s="3"/>
      <c r="D17" s="4" t="s">
        <v>56</v>
      </c>
      <c r="E17" s="3" t="s">
        <v>57</v>
      </c>
      <c r="F17" s="3" t="s">
        <v>46</v>
      </c>
      <c r="G17" s="4" t="s">
        <v>47</v>
      </c>
      <c r="H17" s="3" t="s">
        <v>58</v>
      </c>
      <c r="I17" s="3" t="s">
        <v>98</v>
      </c>
      <c r="J17" s="1">
        <v>27625068</v>
      </c>
      <c r="K17" s="1">
        <v>11792088</v>
      </c>
      <c r="L17" s="1">
        <v>15832980</v>
      </c>
      <c r="M17" s="4">
        <v>150</v>
      </c>
      <c r="N17" t="s">
        <v>96</v>
      </c>
    </row>
    <row r="18" spans="1:14" ht="15.75">
      <c r="A18" s="3"/>
      <c r="B18" s="3"/>
      <c r="C18" s="3"/>
      <c r="D18" s="4"/>
      <c r="E18" s="3"/>
      <c r="F18" s="3"/>
      <c r="G18" s="4"/>
      <c r="H18" s="3"/>
      <c r="I18" s="3"/>
      <c r="J18" s="4"/>
      <c r="K18" s="4"/>
      <c r="L18" s="4"/>
      <c r="M18" s="4"/>
    </row>
    <row r="19" spans="1:14" ht="15.75">
      <c r="A19" s="3" t="s">
        <v>99</v>
      </c>
      <c r="B19" s="3" t="s">
        <v>100</v>
      </c>
      <c r="C19" s="3"/>
      <c r="D19" s="4"/>
      <c r="E19" s="3" t="s">
        <v>57</v>
      </c>
      <c r="F19" s="3" t="s">
        <v>46</v>
      </c>
      <c r="G19" s="4" t="s">
        <v>47</v>
      </c>
      <c r="H19" s="3" t="s">
        <v>101</v>
      </c>
      <c r="I19" s="3" t="s">
        <v>102</v>
      </c>
      <c r="J19" s="1">
        <v>37513299</v>
      </c>
      <c r="K19" s="1">
        <v>7651762</v>
      </c>
      <c r="L19" s="1">
        <v>29861537</v>
      </c>
      <c r="M19" s="4">
        <v>100</v>
      </c>
      <c r="N19" t="s">
        <v>103</v>
      </c>
    </row>
    <row r="20" spans="1:14" ht="15.75">
      <c r="A20" s="3" t="s">
        <v>104</v>
      </c>
      <c r="B20" s="3" t="s">
        <v>100</v>
      </c>
      <c r="C20" s="3"/>
      <c r="D20" s="4"/>
      <c r="E20" s="3" t="s">
        <v>57</v>
      </c>
      <c r="F20" s="3" t="s">
        <v>46</v>
      </c>
      <c r="G20" s="4" t="s">
        <v>47</v>
      </c>
      <c r="H20" s="3" t="s">
        <v>101</v>
      </c>
      <c r="I20" s="3" t="s">
        <v>105</v>
      </c>
      <c r="J20" s="1">
        <v>37513299</v>
      </c>
      <c r="K20" s="1">
        <v>6489975</v>
      </c>
      <c r="L20" s="1">
        <v>31023324</v>
      </c>
      <c r="M20" s="4">
        <v>100</v>
      </c>
      <c r="N20" t="s">
        <v>103</v>
      </c>
    </row>
    <row r="21" spans="1:14" ht="15.75">
      <c r="A21" s="3" t="s">
        <v>106</v>
      </c>
      <c r="B21" s="3" t="s">
        <v>100</v>
      </c>
      <c r="C21" s="3"/>
      <c r="D21" s="4"/>
      <c r="E21" s="3" t="s">
        <v>57</v>
      </c>
      <c r="F21" s="3" t="s">
        <v>46</v>
      </c>
      <c r="G21" s="4" t="s">
        <v>47</v>
      </c>
      <c r="H21" s="3" t="s">
        <v>101</v>
      </c>
      <c r="I21" s="3" t="s">
        <v>107</v>
      </c>
      <c r="J21" s="1">
        <v>44821397</v>
      </c>
      <c r="K21" s="1">
        <v>10797166</v>
      </c>
      <c r="L21" s="1">
        <v>34024231</v>
      </c>
      <c r="M21" s="4">
        <v>100</v>
      </c>
      <c r="N21" t="s">
        <v>108</v>
      </c>
    </row>
    <row r="22" spans="1:14" ht="15.75">
      <c r="A22" s="3" t="s">
        <v>109</v>
      </c>
      <c r="B22" s="3" t="s">
        <v>100</v>
      </c>
      <c r="C22" s="3"/>
      <c r="D22" s="4"/>
      <c r="E22" s="3" t="s">
        <v>57</v>
      </c>
      <c r="F22" s="3" t="s">
        <v>46</v>
      </c>
      <c r="G22" s="4" t="s">
        <v>47</v>
      </c>
      <c r="H22" s="3" t="s">
        <v>101</v>
      </c>
      <c r="I22" s="3" t="s">
        <v>110</v>
      </c>
      <c r="J22" s="1">
        <v>44821397</v>
      </c>
      <c r="K22" s="1">
        <v>9250562</v>
      </c>
      <c r="L22" s="1">
        <v>35570835</v>
      </c>
      <c r="M22" s="4">
        <v>100</v>
      </c>
      <c r="N22" t="s">
        <v>108</v>
      </c>
    </row>
    <row r="23" spans="1:14" ht="15.75">
      <c r="A23" s="3" t="s">
        <v>111</v>
      </c>
      <c r="B23" s="3" t="s">
        <v>100</v>
      </c>
      <c r="C23" s="3"/>
      <c r="D23" s="4"/>
      <c r="E23" s="3" t="s">
        <v>57</v>
      </c>
      <c r="F23" s="3" t="s">
        <v>46</v>
      </c>
      <c r="G23" s="4" t="s">
        <v>47</v>
      </c>
      <c r="H23" s="3" t="s">
        <v>101</v>
      </c>
      <c r="I23" s="3" t="s">
        <v>112</v>
      </c>
      <c r="J23" s="1">
        <v>44140804</v>
      </c>
      <c r="K23" s="1">
        <v>9777485</v>
      </c>
      <c r="L23" s="1">
        <v>34363319</v>
      </c>
      <c r="M23" s="4">
        <v>100</v>
      </c>
      <c r="N23" t="s">
        <v>113</v>
      </c>
    </row>
    <row r="24" spans="1:14" ht="15.75">
      <c r="A24" s="3" t="s">
        <v>114</v>
      </c>
      <c r="B24" s="3" t="s">
        <v>100</v>
      </c>
      <c r="C24" s="3"/>
      <c r="D24" s="4"/>
      <c r="E24" s="3" t="s">
        <v>57</v>
      </c>
      <c r="F24" s="3" t="s">
        <v>46</v>
      </c>
      <c r="G24" s="4" t="s">
        <v>47</v>
      </c>
      <c r="H24" s="3" t="s">
        <v>101</v>
      </c>
      <c r="I24" s="3" t="s">
        <v>115</v>
      </c>
      <c r="J24" s="1">
        <v>44140804</v>
      </c>
      <c r="K24" s="1">
        <v>8490025</v>
      </c>
      <c r="L24" s="1">
        <v>35650779</v>
      </c>
      <c r="M24" s="4">
        <v>100</v>
      </c>
      <c r="N24" t="s">
        <v>113</v>
      </c>
    </row>
    <row r="25" spans="1:14" ht="15.75">
      <c r="A25" s="3" t="s">
        <v>116</v>
      </c>
      <c r="B25" s="3" t="s">
        <v>100</v>
      </c>
      <c r="C25" s="3"/>
      <c r="D25" s="4"/>
      <c r="E25" s="3" t="s">
        <v>57</v>
      </c>
      <c r="F25" s="3" t="s">
        <v>46</v>
      </c>
      <c r="G25" s="4" t="s">
        <v>47</v>
      </c>
      <c r="H25" s="3" t="s">
        <v>101</v>
      </c>
      <c r="I25" s="3" t="s">
        <v>117</v>
      </c>
      <c r="J25" s="1">
        <v>53624707</v>
      </c>
      <c r="K25" s="1">
        <v>9870672</v>
      </c>
      <c r="L25" s="1">
        <v>43754035</v>
      </c>
      <c r="M25" s="4">
        <v>100</v>
      </c>
      <c r="N25" t="s">
        <v>118</v>
      </c>
    </row>
    <row r="26" spans="1:14" ht="15.75">
      <c r="A26" s="3" t="s">
        <v>119</v>
      </c>
      <c r="B26" s="3" t="s">
        <v>100</v>
      </c>
      <c r="C26" s="3"/>
      <c r="D26" s="4"/>
      <c r="E26" s="3" t="s">
        <v>57</v>
      </c>
      <c r="F26" s="3" t="s">
        <v>46</v>
      </c>
      <c r="G26" s="4" t="s">
        <v>47</v>
      </c>
      <c r="H26" s="3" t="s">
        <v>101</v>
      </c>
      <c r="I26" s="3" t="s">
        <v>120</v>
      </c>
      <c r="J26" s="1">
        <v>53624707</v>
      </c>
      <c r="K26" s="1">
        <v>9002657</v>
      </c>
      <c r="L26" s="1">
        <v>44622050</v>
      </c>
      <c r="M26" s="4">
        <v>100</v>
      </c>
      <c r="N26" t="s">
        <v>118</v>
      </c>
    </row>
    <row r="27" spans="1:14" ht="15.75">
      <c r="A27" s="3" t="s">
        <v>121</v>
      </c>
      <c r="B27" s="3" t="s">
        <v>122</v>
      </c>
      <c r="C27" s="3"/>
      <c r="D27" s="4"/>
      <c r="E27" s="3" t="s">
        <v>57</v>
      </c>
      <c r="F27" s="3" t="s">
        <v>46</v>
      </c>
      <c r="G27" s="4" t="s">
        <v>47</v>
      </c>
      <c r="H27" s="3" t="s">
        <v>101</v>
      </c>
      <c r="I27" s="3" t="s">
        <v>123</v>
      </c>
      <c r="J27" s="1">
        <v>43192029</v>
      </c>
      <c r="K27" s="1">
        <v>8471929</v>
      </c>
      <c r="L27" s="1">
        <v>34720100</v>
      </c>
      <c r="M27" s="4">
        <v>100</v>
      </c>
      <c r="N27" t="s">
        <v>124</v>
      </c>
    </row>
    <row r="28" spans="1:14" ht="15.75">
      <c r="A28" s="3" t="s">
        <v>125</v>
      </c>
      <c r="B28" s="3" t="s">
        <v>122</v>
      </c>
      <c r="C28" s="3"/>
      <c r="D28" s="4"/>
      <c r="E28" s="3" t="s">
        <v>57</v>
      </c>
      <c r="F28" s="3" t="s">
        <v>46</v>
      </c>
      <c r="G28" s="4" t="s">
        <v>47</v>
      </c>
      <c r="H28" s="3" t="s">
        <v>101</v>
      </c>
      <c r="I28" s="3" t="s">
        <v>126</v>
      </c>
      <c r="J28" s="1">
        <v>43192029</v>
      </c>
      <c r="K28" s="1">
        <v>7285990</v>
      </c>
      <c r="L28" s="1">
        <v>35906039</v>
      </c>
      <c r="M28" s="4">
        <v>100</v>
      </c>
      <c r="N28" t="s">
        <v>124</v>
      </c>
    </row>
    <row r="29" spans="1:14" ht="15.75">
      <c r="A29" s="3" t="s">
        <v>127</v>
      </c>
      <c r="B29" s="3" t="s">
        <v>122</v>
      </c>
      <c r="C29" s="3"/>
      <c r="D29" s="4"/>
      <c r="E29" s="3" t="s">
        <v>57</v>
      </c>
      <c r="F29" s="3" t="s">
        <v>46</v>
      </c>
      <c r="G29" s="4" t="s">
        <v>47</v>
      </c>
      <c r="H29" s="3" t="s">
        <v>101</v>
      </c>
      <c r="I29" s="3" t="s">
        <v>126</v>
      </c>
      <c r="J29" s="1">
        <v>45572691</v>
      </c>
      <c r="K29" s="1">
        <v>10395524</v>
      </c>
      <c r="L29" s="1">
        <v>35177167</v>
      </c>
      <c r="M29" s="4">
        <v>100</v>
      </c>
      <c r="N29" t="s">
        <v>128</v>
      </c>
    </row>
    <row r="30" spans="1:14" ht="15.75">
      <c r="A30" s="3" t="s">
        <v>129</v>
      </c>
      <c r="B30" s="3" t="s">
        <v>122</v>
      </c>
      <c r="C30" s="3"/>
      <c r="D30" s="4"/>
      <c r="E30" s="3" t="s">
        <v>57</v>
      </c>
      <c r="F30" s="3" t="s">
        <v>46</v>
      </c>
      <c r="G30" s="4" t="s">
        <v>47</v>
      </c>
      <c r="H30" s="3" t="s">
        <v>101</v>
      </c>
      <c r="I30" s="3" t="s">
        <v>130</v>
      </c>
      <c r="J30" s="1">
        <v>45572691</v>
      </c>
      <c r="K30" s="1">
        <v>8942696</v>
      </c>
      <c r="L30" s="1">
        <v>36629995</v>
      </c>
      <c r="M30" s="4">
        <v>100</v>
      </c>
      <c r="N30" t="s">
        <v>128</v>
      </c>
    </row>
    <row r="31" spans="1:14" ht="15.75">
      <c r="A31" s="3" t="s">
        <v>131</v>
      </c>
      <c r="B31" s="3" t="s">
        <v>122</v>
      </c>
      <c r="C31" s="3"/>
      <c r="D31" s="4"/>
      <c r="E31" s="3" t="s">
        <v>57</v>
      </c>
      <c r="F31" s="3" t="s">
        <v>46</v>
      </c>
      <c r="G31" s="4" t="s">
        <v>47</v>
      </c>
      <c r="H31" s="3" t="s">
        <v>101</v>
      </c>
      <c r="I31" s="3" t="s">
        <v>132</v>
      </c>
      <c r="J31" s="1">
        <v>37554861</v>
      </c>
      <c r="K31" s="1">
        <v>8518090</v>
      </c>
      <c r="L31" s="1">
        <v>29036771</v>
      </c>
      <c r="M31" s="4">
        <v>100</v>
      </c>
      <c r="N31" t="s">
        <v>133</v>
      </c>
    </row>
    <row r="32" spans="1:14" ht="15.75">
      <c r="A32" s="3" t="s">
        <v>134</v>
      </c>
      <c r="B32" s="3" t="s">
        <v>122</v>
      </c>
      <c r="C32" s="3"/>
      <c r="D32" s="4"/>
      <c r="E32" s="3" t="s">
        <v>57</v>
      </c>
      <c r="F32" s="3" t="s">
        <v>46</v>
      </c>
      <c r="G32" s="4" t="s">
        <v>47</v>
      </c>
      <c r="H32" s="3" t="s">
        <v>101</v>
      </c>
      <c r="I32" s="3" t="s">
        <v>135</v>
      </c>
      <c r="J32" s="1">
        <v>37554861</v>
      </c>
      <c r="K32" s="1">
        <v>7123351</v>
      </c>
      <c r="L32" s="1">
        <v>30431510</v>
      </c>
      <c r="M32" s="4">
        <v>100</v>
      </c>
      <c r="N32" t="s">
        <v>133</v>
      </c>
    </row>
    <row r="33" spans="1:14" ht="15.75">
      <c r="A33" s="3" t="s">
        <v>136</v>
      </c>
      <c r="B33" s="3" t="s">
        <v>122</v>
      </c>
      <c r="C33" s="3"/>
      <c r="D33" s="4"/>
      <c r="E33" s="3" t="s">
        <v>57</v>
      </c>
      <c r="F33" s="3" t="s">
        <v>46</v>
      </c>
      <c r="G33" s="4" t="s">
        <v>47</v>
      </c>
      <c r="H33" s="3" t="s">
        <v>101</v>
      </c>
      <c r="I33" s="3" t="s">
        <v>137</v>
      </c>
      <c r="J33" s="1">
        <v>41014397</v>
      </c>
      <c r="K33" s="1">
        <v>7596278</v>
      </c>
      <c r="L33" s="1">
        <v>33418119</v>
      </c>
      <c r="M33" s="4">
        <v>100</v>
      </c>
      <c r="N33" t="s">
        <v>138</v>
      </c>
    </row>
    <row r="34" spans="1:14" ht="15.75">
      <c r="A34" s="3" t="s">
        <v>139</v>
      </c>
      <c r="B34" s="3" t="s">
        <v>122</v>
      </c>
      <c r="C34" s="3"/>
      <c r="D34" s="4"/>
      <c r="E34" s="3" t="s">
        <v>57</v>
      </c>
      <c r="F34" s="3" t="s">
        <v>46</v>
      </c>
      <c r="G34" s="4" t="s">
        <v>47</v>
      </c>
      <c r="H34" s="3" t="s">
        <v>101</v>
      </c>
      <c r="I34" s="3" t="s">
        <v>140</v>
      </c>
      <c r="J34" s="1">
        <v>41014397</v>
      </c>
      <c r="K34" s="1">
        <v>6211123</v>
      </c>
      <c r="L34" s="1">
        <v>34803274</v>
      </c>
      <c r="M34" s="4">
        <v>100</v>
      </c>
      <c r="N34" t="s">
        <v>138</v>
      </c>
    </row>
    <row r="35" spans="1:14" ht="15.75">
      <c r="A35" s="3"/>
      <c r="B35" s="3"/>
      <c r="C35" s="3"/>
      <c r="D35" s="4"/>
      <c r="E35" s="3"/>
      <c r="F35" s="3"/>
      <c r="G35" s="4"/>
      <c r="H35" s="3"/>
      <c r="I35" s="3"/>
      <c r="J35" s="4"/>
      <c r="K35" s="4"/>
      <c r="L35" s="4"/>
      <c r="M35" s="4"/>
    </row>
    <row r="36" spans="1:14" ht="15.75">
      <c r="A36" s="3" t="s">
        <v>141</v>
      </c>
      <c r="B36" s="3" t="s">
        <v>142</v>
      </c>
      <c r="C36" s="3"/>
      <c r="D36" s="4"/>
      <c r="E36" s="3" t="s">
        <v>57</v>
      </c>
      <c r="F36" s="3" t="s">
        <v>46</v>
      </c>
      <c r="G36" s="4" t="s">
        <v>47</v>
      </c>
      <c r="H36" s="3" t="s">
        <v>143</v>
      </c>
      <c r="I36" s="3" t="s">
        <v>144</v>
      </c>
      <c r="J36" s="1">
        <v>145907382</v>
      </c>
      <c r="K36" s="1">
        <v>23079255</v>
      </c>
      <c r="L36" s="1">
        <v>122828127</v>
      </c>
      <c r="M36" s="4">
        <v>150</v>
      </c>
      <c r="N36" t="s">
        <v>145</v>
      </c>
    </row>
    <row r="37" spans="1:14" ht="15.75">
      <c r="A37" s="3" t="s">
        <v>146</v>
      </c>
      <c r="B37" s="3" t="s">
        <v>142</v>
      </c>
      <c r="C37" s="3"/>
      <c r="D37" s="4"/>
      <c r="E37" s="3" t="s">
        <v>57</v>
      </c>
      <c r="F37" s="3" t="s">
        <v>46</v>
      </c>
      <c r="G37" s="4" t="s">
        <v>47</v>
      </c>
      <c r="H37" s="3" t="s">
        <v>143</v>
      </c>
      <c r="I37" s="3" t="s">
        <v>147</v>
      </c>
      <c r="J37" s="1">
        <v>145907382</v>
      </c>
      <c r="K37" s="1">
        <v>23485144</v>
      </c>
      <c r="L37" s="1">
        <v>122422238</v>
      </c>
      <c r="M37" s="4">
        <v>150</v>
      </c>
      <c r="N37" t="s">
        <v>145</v>
      </c>
    </row>
    <row r="38" spans="1:14" ht="15.75">
      <c r="A38" s="3" t="s">
        <v>148</v>
      </c>
      <c r="B38" s="3" t="s">
        <v>142</v>
      </c>
      <c r="C38" s="3"/>
      <c r="D38" s="4"/>
      <c r="E38" s="3" t="s">
        <v>57</v>
      </c>
      <c r="F38" s="3" t="s">
        <v>46</v>
      </c>
      <c r="G38" s="4" t="s">
        <v>47</v>
      </c>
      <c r="H38" s="3" t="s">
        <v>143</v>
      </c>
      <c r="I38" s="3" t="s">
        <v>149</v>
      </c>
      <c r="J38" s="1">
        <v>130368510</v>
      </c>
      <c r="K38" s="1">
        <v>24380159</v>
      </c>
      <c r="L38" s="1">
        <v>105988351</v>
      </c>
      <c r="M38" s="4">
        <v>150</v>
      </c>
      <c r="N38" t="s">
        <v>150</v>
      </c>
    </row>
    <row r="39" spans="1:14" ht="15.75">
      <c r="A39" s="3" t="s">
        <v>151</v>
      </c>
      <c r="B39" s="3" t="s">
        <v>142</v>
      </c>
      <c r="C39" s="3"/>
      <c r="D39" s="4"/>
      <c r="E39" s="3" t="s">
        <v>57</v>
      </c>
      <c r="F39" s="3" t="s">
        <v>46</v>
      </c>
      <c r="G39" s="4" t="s">
        <v>47</v>
      </c>
      <c r="H39" s="3" t="s">
        <v>143</v>
      </c>
      <c r="I39" s="3" t="s">
        <v>152</v>
      </c>
      <c r="J39" s="1">
        <v>130368510</v>
      </c>
      <c r="K39" s="1">
        <v>23232669</v>
      </c>
      <c r="L39" s="1">
        <v>107135841</v>
      </c>
      <c r="M39" s="4">
        <v>150</v>
      </c>
      <c r="N39" t="s">
        <v>150</v>
      </c>
    </row>
    <row r="40" spans="1:14" ht="15.75">
      <c r="A40" s="3" t="s">
        <v>153</v>
      </c>
      <c r="B40" s="3" t="s">
        <v>142</v>
      </c>
      <c r="C40" s="3"/>
      <c r="D40" s="4"/>
      <c r="E40" s="3" t="s">
        <v>57</v>
      </c>
      <c r="F40" s="3" t="s">
        <v>46</v>
      </c>
      <c r="G40" s="4" t="s">
        <v>47</v>
      </c>
      <c r="H40" s="3" t="s">
        <v>143</v>
      </c>
      <c r="I40" s="3" t="s">
        <v>154</v>
      </c>
      <c r="J40" s="1">
        <v>102905482</v>
      </c>
      <c r="K40" s="1">
        <v>17092528</v>
      </c>
      <c r="L40" s="1">
        <v>85812954</v>
      </c>
      <c r="M40" s="4">
        <v>150</v>
      </c>
      <c r="N40" t="s">
        <v>155</v>
      </c>
    </row>
    <row r="41" spans="1:14" ht="15.75">
      <c r="A41" s="3" t="s">
        <v>156</v>
      </c>
      <c r="B41" s="3" t="s">
        <v>142</v>
      </c>
      <c r="C41" s="3"/>
      <c r="D41" s="4"/>
      <c r="E41" s="3" t="s">
        <v>57</v>
      </c>
      <c r="F41" s="3" t="s">
        <v>46</v>
      </c>
      <c r="G41" s="4" t="s">
        <v>47</v>
      </c>
      <c r="H41" s="3" t="s">
        <v>143</v>
      </c>
      <c r="I41" s="3" t="s">
        <v>157</v>
      </c>
      <c r="J41" s="1">
        <v>102905482</v>
      </c>
      <c r="K41" s="1">
        <v>16655963</v>
      </c>
      <c r="L41" s="1">
        <v>86249519</v>
      </c>
      <c r="M41" s="4">
        <v>150</v>
      </c>
      <c r="N41" t="s">
        <v>155</v>
      </c>
    </row>
    <row r="42" spans="1:14" ht="15.75">
      <c r="A42" s="3" t="s">
        <v>158</v>
      </c>
      <c r="B42" s="3" t="s">
        <v>159</v>
      </c>
      <c r="C42" s="3"/>
      <c r="D42" s="4"/>
      <c r="E42" s="3" t="s">
        <v>57</v>
      </c>
      <c r="F42" s="3" t="s">
        <v>46</v>
      </c>
      <c r="G42" s="4" t="s">
        <v>47</v>
      </c>
      <c r="H42" s="3" t="s">
        <v>143</v>
      </c>
      <c r="I42" s="3" t="s">
        <v>160</v>
      </c>
      <c r="J42" s="1">
        <v>148849000</v>
      </c>
      <c r="K42" s="1">
        <v>16417927</v>
      </c>
      <c r="L42" s="1">
        <v>132431073</v>
      </c>
      <c r="M42" s="4">
        <v>150</v>
      </c>
      <c r="N42" t="s">
        <v>161</v>
      </c>
    </row>
    <row r="43" spans="1:14" ht="15.75">
      <c r="A43" s="3" t="s">
        <v>162</v>
      </c>
      <c r="B43" s="3" t="s">
        <v>159</v>
      </c>
      <c r="C43" s="3"/>
      <c r="D43" s="4"/>
      <c r="E43" s="3" t="s">
        <v>57</v>
      </c>
      <c r="F43" s="3" t="s">
        <v>46</v>
      </c>
      <c r="G43" s="4" t="s">
        <v>47</v>
      </c>
      <c r="H43" s="3" t="s">
        <v>143</v>
      </c>
      <c r="I43" s="3" t="s">
        <v>163</v>
      </c>
      <c r="J43" s="1">
        <v>148849000</v>
      </c>
      <c r="K43" s="1">
        <v>16845278</v>
      </c>
      <c r="L43" s="1">
        <v>132003722</v>
      </c>
      <c r="M43" s="4">
        <v>150</v>
      </c>
      <c r="N43" t="s">
        <v>161</v>
      </c>
    </row>
    <row r="44" spans="1:14" ht="15.75">
      <c r="A44" s="3" t="s">
        <v>164</v>
      </c>
      <c r="B44" s="3" t="s">
        <v>159</v>
      </c>
      <c r="C44" s="3"/>
      <c r="D44" s="4"/>
      <c r="E44" s="3" t="s">
        <v>57</v>
      </c>
      <c r="F44" s="3" t="s">
        <v>46</v>
      </c>
      <c r="G44" s="4" t="s">
        <v>47</v>
      </c>
      <c r="H44" s="3" t="s">
        <v>143</v>
      </c>
      <c r="I44" s="3" t="s">
        <v>165</v>
      </c>
      <c r="J44" s="1">
        <v>141318352</v>
      </c>
      <c r="K44" s="1">
        <v>16090148</v>
      </c>
      <c r="L44" s="1">
        <v>125228204</v>
      </c>
      <c r="M44" s="4">
        <v>150</v>
      </c>
      <c r="N44" t="s">
        <v>166</v>
      </c>
    </row>
    <row r="45" spans="1:14" ht="15.75">
      <c r="A45" s="3" t="s">
        <v>167</v>
      </c>
      <c r="B45" s="3" t="s">
        <v>159</v>
      </c>
      <c r="C45" s="3"/>
      <c r="D45" s="4"/>
      <c r="E45" s="3" t="s">
        <v>57</v>
      </c>
      <c r="F45" s="3" t="s">
        <v>46</v>
      </c>
      <c r="G45" s="4" t="s">
        <v>47</v>
      </c>
      <c r="H45" s="3" t="s">
        <v>143</v>
      </c>
      <c r="I45" s="3" t="s">
        <v>168</v>
      </c>
      <c r="J45" s="1">
        <v>141318352</v>
      </c>
      <c r="K45" s="1">
        <v>16414430</v>
      </c>
      <c r="L45" s="1">
        <v>124903922</v>
      </c>
      <c r="M45" s="4">
        <v>150</v>
      </c>
      <c r="N45" t="s">
        <v>166</v>
      </c>
    </row>
    <row r="46" spans="1:14" ht="15.75">
      <c r="A46" s="3" t="s">
        <v>169</v>
      </c>
      <c r="B46" s="3" t="s">
        <v>159</v>
      </c>
      <c r="C46" s="3"/>
      <c r="D46" s="4"/>
      <c r="E46" s="3" t="s">
        <v>57</v>
      </c>
      <c r="F46" s="3" t="s">
        <v>46</v>
      </c>
      <c r="G46" s="4" t="s">
        <v>47</v>
      </c>
      <c r="H46" s="3" t="s">
        <v>143</v>
      </c>
      <c r="I46" s="3" t="s">
        <v>170</v>
      </c>
      <c r="J46" s="1">
        <v>122391229</v>
      </c>
      <c r="K46" s="1">
        <v>13429823</v>
      </c>
      <c r="L46" s="1">
        <v>108961406</v>
      </c>
      <c r="M46" s="4">
        <v>150</v>
      </c>
      <c r="N46" t="s">
        <v>171</v>
      </c>
    </row>
    <row r="47" spans="1:14" ht="15.75">
      <c r="A47" s="3" t="s">
        <v>172</v>
      </c>
      <c r="B47" s="3" t="s">
        <v>159</v>
      </c>
      <c r="C47" s="3"/>
      <c r="D47" s="4"/>
      <c r="E47" s="3" t="s">
        <v>57</v>
      </c>
      <c r="F47" s="3" t="s">
        <v>46</v>
      </c>
      <c r="G47" s="4" t="s">
        <v>47</v>
      </c>
      <c r="H47" s="3" t="s">
        <v>143</v>
      </c>
      <c r="I47" s="3" t="s">
        <v>173</v>
      </c>
      <c r="J47" s="1">
        <v>122391229</v>
      </c>
      <c r="K47" s="1">
        <v>13579428</v>
      </c>
      <c r="L47" s="1">
        <v>108811801</v>
      </c>
      <c r="M47" s="4">
        <v>150</v>
      </c>
      <c r="N47" t="s">
        <v>171</v>
      </c>
    </row>
    <row r="48" spans="1:14" ht="15.75">
      <c r="A48" s="3" t="s">
        <v>174</v>
      </c>
      <c r="B48" s="3" t="s">
        <v>175</v>
      </c>
      <c r="C48" s="3"/>
      <c r="D48" s="4"/>
      <c r="E48" s="3" t="s">
        <v>57</v>
      </c>
      <c r="F48" s="3" t="s">
        <v>46</v>
      </c>
      <c r="G48" s="4" t="s">
        <v>47</v>
      </c>
      <c r="H48" s="3" t="s">
        <v>143</v>
      </c>
      <c r="I48" s="3" t="s">
        <v>176</v>
      </c>
      <c r="J48" s="1">
        <v>146722364</v>
      </c>
      <c r="K48" s="1">
        <v>16849466</v>
      </c>
      <c r="L48" s="1">
        <v>129872898</v>
      </c>
      <c r="M48" s="4">
        <v>150</v>
      </c>
      <c r="N48" t="s">
        <v>177</v>
      </c>
    </row>
    <row r="49" spans="1:14" ht="15.75">
      <c r="A49" s="3" t="s">
        <v>178</v>
      </c>
      <c r="B49" s="3" t="s">
        <v>175</v>
      </c>
      <c r="C49" s="3"/>
      <c r="D49" s="4"/>
      <c r="E49" s="3" t="s">
        <v>57</v>
      </c>
      <c r="F49" s="3" t="s">
        <v>46</v>
      </c>
      <c r="G49" s="4" t="s">
        <v>47</v>
      </c>
      <c r="H49" s="3" t="s">
        <v>143</v>
      </c>
      <c r="I49" s="3" t="s">
        <v>179</v>
      </c>
      <c r="J49" s="1">
        <v>146722364</v>
      </c>
      <c r="K49" s="1">
        <v>16942361</v>
      </c>
      <c r="L49" s="1">
        <v>129780003</v>
      </c>
      <c r="M49" s="4">
        <v>150</v>
      </c>
      <c r="N49" t="s">
        <v>177</v>
      </c>
    </row>
    <row r="50" spans="1:14" ht="15.75">
      <c r="A50" s="3" t="s">
        <v>180</v>
      </c>
      <c r="B50" s="3" t="s">
        <v>175</v>
      </c>
      <c r="C50" s="3"/>
      <c r="D50" s="4"/>
      <c r="E50" s="3" t="s">
        <v>57</v>
      </c>
      <c r="F50" s="3" t="s">
        <v>46</v>
      </c>
      <c r="G50" s="4" t="s">
        <v>47</v>
      </c>
      <c r="H50" s="3" t="s">
        <v>143</v>
      </c>
      <c r="I50" s="3" t="s">
        <v>181</v>
      </c>
      <c r="J50" s="1">
        <v>133703616</v>
      </c>
      <c r="K50" s="1">
        <v>13509144</v>
      </c>
      <c r="L50" s="1">
        <v>120194472</v>
      </c>
      <c r="M50" s="4">
        <v>150</v>
      </c>
      <c r="N50" t="s">
        <v>182</v>
      </c>
    </row>
    <row r="51" spans="1:14" ht="15.75">
      <c r="A51" s="3" t="s">
        <v>183</v>
      </c>
      <c r="B51" s="3" t="s">
        <v>175</v>
      </c>
      <c r="C51" s="3"/>
      <c r="D51" s="4"/>
      <c r="E51" s="3" t="s">
        <v>57</v>
      </c>
      <c r="F51" s="3" t="s">
        <v>46</v>
      </c>
      <c r="G51" s="4" t="s">
        <v>47</v>
      </c>
      <c r="H51" s="3" t="s">
        <v>143</v>
      </c>
      <c r="I51" s="3" t="s">
        <v>184</v>
      </c>
      <c r="J51" s="1">
        <v>133703616</v>
      </c>
      <c r="K51" s="1">
        <v>13702158</v>
      </c>
      <c r="L51" s="1">
        <v>120001458</v>
      </c>
      <c r="M51" s="4">
        <v>150</v>
      </c>
      <c r="N51" t="s">
        <v>182</v>
      </c>
    </row>
    <row r="52" spans="1:14" ht="15.75">
      <c r="A52" s="3" t="s">
        <v>185</v>
      </c>
      <c r="B52" s="3" t="s">
        <v>175</v>
      </c>
      <c r="C52" s="3"/>
      <c r="D52" s="4"/>
      <c r="E52" s="3" t="s">
        <v>57</v>
      </c>
      <c r="F52" s="3" t="s">
        <v>46</v>
      </c>
      <c r="G52" s="4" t="s">
        <v>47</v>
      </c>
      <c r="H52" s="3" t="s">
        <v>143</v>
      </c>
      <c r="I52" s="3" t="s">
        <v>186</v>
      </c>
      <c r="J52" s="1">
        <v>141871309</v>
      </c>
      <c r="K52" s="1">
        <v>16522805</v>
      </c>
      <c r="L52" s="1">
        <v>125348504</v>
      </c>
      <c r="M52" s="4">
        <v>150</v>
      </c>
      <c r="N52" t="s">
        <v>187</v>
      </c>
    </row>
    <row r="53" spans="1:14" ht="15.75">
      <c r="A53" s="3" t="s">
        <v>188</v>
      </c>
      <c r="B53" s="3" t="s">
        <v>175</v>
      </c>
      <c r="C53" s="3"/>
      <c r="D53" s="4"/>
      <c r="E53" s="3" t="s">
        <v>57</v>
      </c>
      <c r="F53" s="3" t="s">
        <v>46</v>
      </c>
      <c r="G53" s="4" t="s">
        <v>47</v>
      </c>
      <c r="H53" s="3" t="s">
        <v>143</v>
      </c>
      <c r="I53" s="3" t="s">
        <v>189</v>
      </c>
      <c r="J53" s="1">
        <v>141871309</v>
      </c>
      <c r="K53" s="1">
        <v>16800802</v>
      </c>
      <c r="L53" s="1">
        <v>125070507</v>
      </c>
      <c r="M53" s="4">
        <v>150</v>
      </c>
      <c r="N53" t="s">
        <v>187</v>
      </c>
    </row>
    <row r="54" spans="1:14" ht="15.75">
      <c r="A54" s="3" t="s">
        <v>190</v>
      </c>
      <c r="B54" s="3" t="s">
        <v>191</v>
      </c>
      <c r="C54" s="3"/>
      <c r="D54" s="4"/>
      <c r="E54" s="3" t="s">
        <v>57</v>
      </c>
      <c r="F54" s="3" t="s">
        <v>46</v>
      </c>
      <c r="G54" s="4" t="s">
        <v>47</v>
      </c>
      <c r="H54" s="3" t="s">
        <v>143</v>
      </c>
      <c r="I54" s="3" t="s">
        <v>192</v>
      </c>
      <c r="J54" s="1">
        <v>158961836</v>
      </c>
      <c r="K54" s="1">
        <v>18662136</v>
      </c>
      <c r="L54" s="1">
        <v>140299700</v>
      </c>
      <c r="M54" s="4">
        <v>150</v>
      </c>
      <c r="N54" t="s">
        <v>193</v>
      </c>
    </row>
    <row r="55" spans="1:14" ht="15.75">
      <c r="A55" s="3" t="s">
        <v>194</v>
      </c>
      <c r="B55" s="3" t="s">
        <v>191</v>
      </c>
      <c r="C55" s="3"/>
      <c r="D55" s="4"/>
      <c r="E55" s="3" t="s">
        <v>57</v>
      </c>
      <c r="F55" s="3" t="s">
        <v>46</v>
      </c>
      <c r="G55" s="4" t="s">
        <v>47</v>
      </c>
      <c r="H55" s="3" t="s">
        <v>143</v>
      </c>
      <c r="I55" s="3" t="s">
        <v>195</v>
      </c>
      <c r="J55" s="1">
        <v>158961836</v>
      </c>
      <c r="K55" s="1">
        <v>18979770</v>
      </c>
      <c r="L55" s="1">
        <v>139982066</v>
      </c>
      <c r="M55" s="4">
        <v>150</v>
      </c>
      <c r="N55" t="s">
        <v>193</v>
      </c>
    </row>
    <row r="56" spans="1:14" ht="15.75">
      <c r="A56" s="3" t="s">
        <v>196</v>
      </c>
      <c r="B56" s="3" t="s">
        <v>191</v>
      </c>
      <c r="C56" s="3"/>
      <c r="D56" s="4"/>
      <c r="E56" s="3" t="s">
        <v>57</v>
      </c>
      <c r="F56" s="3" t="s">
        <v>46</v>
      </c>
      <c r="G56" s="4" t="s">
        <v>47</v>
      </c>
      <c r="H56" s="3" t="s">
        <v>143</v>
      </c>
      <c r="I56" s="3" t="s">
        <v>197</v>
      </c>
      <c r="J56" s="1">
        <v>131289438</v>
      </c>
      <c r="K56" s="1">
        <v>15052462</v>
      </c>
      <c r="L56" s="1">
        <v>116236976</v>
      </c>
      <c r="M56" s="4">
        <v>150</v>
      </c>
      <c r="N56" t="s">
        <v>198</v>
      </c>
    </row>
    <row r="57" spans="1:14" ht="15.75">
      <c r="A57" s="3" t="s">
        <v>199</v>
      </c>
      <c r="B57" s="3" t="s">
        <v>191</v>
      </c>
      <c r="C57" s="3"/>
      <c r="D57" s="4"/>
      <c r="E57" s="3" t="s">
        <v>57</v>
      </c>
      <c r="F57" s="3" t="s">
        <v>46</v>
      </c>
      <c r="G57" s="4" t="s">
        <v>47</v>
      </c>
      <c r="H57" s="3" t="s">
        <v>143</v>
      </c>
      <c r="I57" s="3" t="s">
        <v>200</v>
      </c>
      <c r="J57" s="1">
        <v>131289438</v>
      </c>
      <c r="K57" s="1">
        <v>15425876</v>
      </c>
      <c r="L57" s="1">
        <v>115863562</v>
      </c>
      <c r="M57" s="4">
        <v>150</v>
      </c>
      <c r="N57" t="s">
        <v>198</v>
      </c>
    </row>
    <row r="58" spans="1:14" ht="15.75">
      <c r="A58" s="3" t="s">
        <v>201</v>
      </c>
      <c r="B58" s="3" t="s">
        <v>191</v>
      </c>
      <c r="C58" s="3"/>
      <c r="D58" s="4"/>
      <c r="E58" s="3" t="s">
        <v>57</v>
      </c>
      <c r="F58" s="3" t="s">
        <v>46</v>
      </c>
      <c r="G58" s="4" t="s">
        <v>47</v>
      </c>
      <c r="H58" s="3" t="s">
        <v>143</v>
      </c>
      <c r="I58" s="3" t="s">
        <v>202</v>
      </c>
      <c r="J58" s="1">
        <v>137552581</v>
      </c>
      <c r="K58" s="1">
        <v>14421261</v>
      </c>
      <c r="L58" s="1">
        <v>123131320</v>
      </c>
      <c r="M58" s="4">
        <v>150</v>
      </c>
      <c r="N58" t="s">
        <v>203</v>
      </c>
    </row>
    <row r="59" spans="1:14" ht="15.75">
      <c r="A59" s="3" t="s">
        <v>204</v>
      </c>
      <c r="B59" s="3" t="s">
        <v>191</v>
      </c>
      <c r="C59" s="3"/>
      <c r="D59" s="4"/>
      <c r="E59" s="3" t="s">
        <v>57</v>
      </c>
      <c r="F59" s="3" t="s">
        <v>46</v>
      </c>
      <c r="G59" s="4" t="s">
        <v>47</v>
      </c>
      <c r="H59" s="3" t="s">
        <v>143</v>
      </c>
      <c r="I59" s="3" t="s">
        <v>205</v>
      </c>
      <c r="J59" s="1">
        <v>137552581</v>
      </c>
      <c r="K59" s="1">
        <v>14839628</v>
      </c>
      <c r="L59" s="1">
        <v>122712953</v>
      </c>
      <c r="M59" s="4">
        <v>150</v>
      </c>
      <c r="N5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2026-03-20T02:08:37Z</dcterms:created>
  <dcterms:modified xsi:type="dcterms:W3CDTF">2026-07-28T08:58:24Z</dcterms:modified>
  <cp:category/>
  <cp:contentStatus/>
</cp:coreProperties>
</file>